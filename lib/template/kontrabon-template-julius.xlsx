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erja\KONTRABON\"/>
    </mc:Choice>
  </mc:AlternateContent>
  <xr:revisionPtr revIDLastSave="0" documentId="13_ncr:1_{79F074E5-CDAA-4DE4-A000-4389363C2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.1001 LMN-2510001 PT SINTA PE" sheetId="1" r:id="rId1"/>
  </sheets>
  <externalReferences>
    <externalReference r:id="rId2"/>
  </externalReferences>
  <definedNames>
    <definedName name="ColumnTitle1">[1]!Project1[[#Headers],[%]]</definedName>
    <definedName name="ColumnTitle2">[1]!Project2[[#Headers],[% Done]]</definedName>
    <definedName name="ColumnTitle3">#REF!</definedName>
    <definedName name="_xlnm.Print_Area" localSheetId="0">'25.1001 LMN-2510001 PT SINTA PE'!$B$1:$H$27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B11" i="1" s="1"/>
  <c r="E7" i="1"/>
  <c r="C5" i="1"/>
  <c r="F29" i="1"/>
  <c r="F8" i="1"/>
  <c r="E25" i="1"/>
</calcChain>
</file>

<file path=xl/sharedStrings.xml><?xml version="1.0" encoding="utf-8"?>
<sst xmlns="http://schemas.openxmlformats.org/spreadsheetml/2006/main" count="68" uniqueCount="34">
  <si>
    <t>KONTRABON</t>
  </si>
  <si>
    <t xml:space="preserve">Jakarta, </t>
  </si>
  <si>
    <t xml:space="preserve">No     : </t>
  </si>
  <si>
    <t>LMN-2510001</t>
  </si>
  <si>
    <t>Kepada :</t>
  </si>
  <si>
    <t>Sudah terima dari Luminor faktur asli sebanyak :</t>
  </si>
  <si>
    <t>Lembar</t>
  </si>
  <si>
    <t>Dengan total nilai:</t>
  </si>
  <si>
    <t>Terbilang :</t>
  </si>
  <si>
    <t>Kembali Tanggal :</t>
  </si>
  <si>
    <t>a. Pembayaran melalui Transfer Cek/Giro harap ditunjukan ke :</t>
  </si>
  <si>
    <t>Tanda Terima,</t>
  </si>
  <si>
    <t>Hormat Kami,</t>
  </si>
  <si>
    <t>Bank          : BCA KCU Pantai Indah Kapuk</t>
  </si>
  <si>
    <t>Rekening      : 8650 896 000</t>
  </si>
  <si>
    <t>Pemilik       : JULIUS SURIPTO atau LIRIS LIMAR</t>
  </si>
  <si>
    <t>Mata Uang     : IDR</t>
  </si>
  <si>
    <t>b. Pembayaran dianggap sah apabila :</t>
  </si>
  <si>
    <t xml:space="preserve">    - cek/giro dapat diuangkan pada rekening kami</t>
  </si>
  <si>
    <t xml:space="preserve">    - melalui transfer wajib disertai bukti transfer &amp; sudah </t>
  </si>
  <si>
    <t>dibukukan di rekening kami</t>
  </si>
  <si>
    <t>c. Kami TIDAK bertanggungjawab terhadap cek/giro yang tidak</t>
  </si>
  <si>
    <t xml:space="preserve">   mencantumkan rekening maupun nama penerima jika terjadi </t>
  </si>
  <si>
    <t>HERLINA</t>
  </si>
  <si>
    <t xml:space="preserve">   hal-hal yang tidak diinginkan</t>
  </si>
  <si>
    <t>Dengan perincian sebagai berikut :</t>
  </si>
  <si>
    <t>No.</t>
  </si>
  <si>
    <t>INVOICE</t>
  </si>
  <si>
    <t>TANGGAL</t>
  </si>
  <si>
    <t>Jumlah</t>
  </si>
  <si>
    <t>JUMLAH</t>
  </si>
  <si>
    <t>NO. PO</t>
  </si>
  <si>
    <t>Keterangan</t>
  </si>
  <si>
    <t>PT KREASI GARMENT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</si>
</sst>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[$-409]d/mmm/yyyy;@"/>
    <numFmt numFmtId="166" formatCode="_-[$Rp-3809]* #,##0.00_-;\-[$Rp-3809]* #,##0.00_-;_-[$Rp-3809]* &quot;-&quot;??_-;_-@_-"/>
    <numFmt numFmtId="167" formatCode="_([$$-409]* #,##0.00_);_([$$-409]* \(#,##0.00\);_([$$-409]* &quot;-&quot;??_);_(@_)"/>
    <numFmt numFmtId="168" formatCode="_-[$Rp-421]* #,##0.00_-;\-[$Rp-421]* #,##0.00_-;_-[$Rp-421]* &quot;-&quot;??_-;_-@_-"/>
    <numFmt numFmtId="169" formatCode="&quot;(    &quot;@&quot;   )&quot;"/>
  </numFmts>
  <fonts count="14">
    <font>
      <sz val="11"/>
      <color theme="1"/>
      <name val="Aptos Narrow"/>
      <charset val="134"/>
      <scheme val="minor"/>
    </font>
    <font>
      <sz val="11"/>
      <color theme="1"/>
      <name val="Aptos Narrow"/>
      <charset val="1"/>
      <scheme val="minor"/>
    </font>
    <font>
      <b/>
      <sz val="20"/>
      <name val="Aptos Narrow"/>
      <charset val="134"/>
      <scheme val="minor"/>
    </font>
    <font>
      <b/>
      <sz val="18"/>
      <color theme="1"/>
      <name val="Times New Roman"/>
      <charset val="134"/>
    </font>
    <font>
      <sz val="16"/>
      <color theme="1"/>
      <name val="Aptos Narrow"/>
      <charset val="1"/>
      <scheme val="minor"/>
    </font>
    <font>
      <sz val="11"/>
      <color theme="1"/>
      <name val="Calibri"/>
      <charset val="134"/>
    </font>
    <font>
      <b/>
      <i/>
      <sz val="11"/>
      <color theme="1"/>
      <name val="Aptos Narrow"/>
      <charset val="134"/>
      <scheme val="minor"/>
    </font>
    <font>
      <i/>
      <sz val="12"/>
      <color theme="1"/>
      <name val="Helvetica Regular"/>
      <charset val="1"/>
    </font>
    <font>
      <sz val="9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Helvetica Regular"/>
      <charset val="1"/>
    </font>
    <font>
      <sz val="9"/>
      <color theme="1"/>
      <name val="Aptos Narrow"/>
      <charset val="1"/>
      <scheme val="minor"/>
    </font>
    <font>
      <sz val="11"/>
      <color theme="1"/>
      <name val="Aptos Narrow"/>
      <scheme val="minor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</cellStyleXfs>
  <cellXfs count="56">
    <xf numFmtId="0" fontId="0" fillId="0" borderId="0" xfId="0"/>
    <xf numFmtId="0" fontId="1" fillId="0" borderId="0" xfId="2" applyAlignment="1">
      <alignment vertical="center"/>
    </xf>
    <xf numFmtId="0" fontId="1" fillId="0" borderId="0" xfId="2"/>
    <xf numFmtId="0" fontId="0" fillId="0" borderId="0" xfId="2" applyFont="1" applyAlignment="1">
      <alignment horizontal="left"/>
    </xf>
    <xf numFmtId="165" fontId="0" fillId="0" borderId="0" xfId="2" applyNumberFormat="1" applyFont="1" applyAlignment="1">
      <alignment horizontal="left"/>
    </xf>
    <xf numFmtId="0" fontId="3" fillId="0" borderId="0" xfId="2" applyFont="1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left" vertical="center"/>
    </xf>
    <xf numFmtId="0" fontId="1" fillId="0" borderId="0" xfId="2" applyAlignment="1">
      <alignment horizontal="center"/>
    </xf>
    <xf numFmtId="0" fontId="1" fillId="0" borderId="0" xfId="2" applyAlignment="1">
      <alignment horizontal="left"/>
    </xf>
    <xf numFmtId="0" fontId="6" fillId="0" borderId="0" xfId="2" applyFont="1"/>
    <xf numFmtId="0" fontId="1" fillId="3" borderId="0" xfId="2" applyFill="1" applyAlignment="1">
      <alignment horizontal="left" shrinkToFit="1"/>
    </xf>
    <xf numFmtId="0" fontId="8" fillId="0" borderId="6" xfId="2" applyFont="1" applyBorder="1"/>
    <xf numFmtId="0" fontId="8" fillId="0" borderId="0" xfId="2" applyFont="1"/>
    <xf numFmtId="0" fontId="8" fillId="0" borderId="7" xfId="2" applyFont="1" applyBorder="1"/>
    <xf numFmtId="0" fontId="8" fillId="0" borderId="8" xfId="2" applyFont="1" applyBorder="1"/>
    <xf numFmtId="0" fontId="8" fillId="0" borderId="9" xfId="2" applyFont="1" applyBorder="1"/>
    <xf numFmtId="0" fontId="8" fillId="0" borderId="10" xfId="2" applyFont="1" applyBorder="1"/>
    <xf numFmtId="0" fontId="9" fillId="4" borderId="11" xfId="2" applyFont="1" applyFill="1" applyBorder="1" applyAlignment="1">
      <alignment horizontal="center" vertical="center"/>
    </xf>
    <xf numFmtId="0" fontId="1" fillId="0" borderId="0" xfId="2" applyAlignment="1">
      <alignment horizontal="center" vertical="center"/>
    </xf>
    <xf numFmtId="166" fontId="10" fillId="0" borderId="0" xfId="2" applyNumberFormat="1" applyFont="1" applyAlignment="1">
      <alignment vertical="center"/>
    </xf>
    <xf numFmtId="167" fontId="1" fillId="0" borderId="12" xfId="2" applyNumberFormat="1" applyBorder="1" applyAlignment="1">
      <alignment vertical="center"/>
    </xf>
    <xf numFmtId="168" fontId="1" fillId="0" borderId="0" xfId="2" applyNumberFormat="1" applyAlignment="1">
      <alignment vertical="center"/>
    </xf>
    <xf numFmtId="166" fontId="1" fillId="0" borderId="0" xfId="2" applyNumberFormat="1"/>
    <xf numFmtId="167" fontId="1" fillId="0" borderId="0" xfId="2" applyNumberFormat="1"/>
    <xf numFmtId="168" fontId="1" fillId="0" borderId="0" xfId="2" applyNumberFormat="1"/>
    <xf numFmtId="169" fontId="1" fillId="0" borderId="0" xfId="2" applyNumberFormat="1" applyAlignment="1">
      <alignment horizontal="center" shrinkToFit="1"/>
    </xf>
    <xf numFmtId="0" fontId="11" fillId="0" borderId="0" xfId="2" applyFont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49" fontId="9" fillId="4" borderId="11" xfId="2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vertical="center" wrapText="1"/>
    </xf>
    <xf numFmtId="0" fontId="2" fillId="0" borderId="1" xfId="2" applyFont="1" applyBorder="1" applyAlignment="1">
      <alignment vertical="center"/>
    </xf>
    <xf numFmtId="0" fontId="8" fillId="0" borderId="3" xfId="2" applyFont="1" applyBorder="1"/>
    <xf numFmtId="0" fontId="8" fillId="0" borderId="4" xfId="2" applyFont="1" applyBorder="1"/>
    <xf numFmtId="0" fontId="8" fillId="0" borderId="5" xfId="2" applyFont="1" applyBorder="1"/>
    <xf numFmtId="0" fontId="1" fillId="0" borderId="14" xfId="2" applyBorder="1" applyAlignment="1">
      <alignment horizontal="center"/>
    </xf>
    <xf numFmtId="0" fontId="9" fillId="4" borderId="16" xfId="2" applyFont="1" applyFill="1" applyBorder="1" applyAlignment="1">
      <alignment horizontal="center" vertical="center"/>
    </xf>
    <xf numFmtId="0" fontId="1" fillId="0" borderId="14" xfId="2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14" fontId="1" fillId="0" borderId="14" xfId="2" applyNumberFormat="1" applyBorder="1" applyAlignment="1">
      <alignment horizontal="center" vertical="center"/>
    </xf>
    <xf numFmtId="0" fontId="1" fillId="0" borderId="14" xfId="2" applyBorder="1" applyAlignment="1">
      <alignment horizontal="center" vertical="center" wrapText="1"/>
    </xf>
    <xf numFmtId="4" fontId="1" fillId="0" borderId="14" xfId="2" applyNumberFormat="1" applyBorder="1" applyAlignment="1">
      <alignment horizontal="right" vertical="center"/>
    </xf>
    <xf numFmtId="0" fontId="1" fillId="0" borderId="17" xfId="2" applyBorder="1" applyAlignment="1">
      <alignment horizontal="center" vertical="center"/>
    </xf>
    <xf numFmtId="0" fontId="1" fillId="0" borderId="18" xfId="2" applyBorder="1" applyAlignment="1">
      <alignment horizontal="center" vertical="center"/>
    </xf>
    <xf numFmtId="4" fontId="1" fillId="0" borderId="18" xfId="2" applyNumberFormat="1" applyBorder="1" applyAlignment="1">
      <alignment horizontal="right" vertical="center"/>
    </xf>
    <xf numFmtId="0" fontId="1" fillId="0" borderId="18" xfId="2" applyBorder="1" applyAlignment="1">
      <alignment horizontal="center" vertical="center" wrapText="1"/>
    </xf>
    <xf numFmtId="0" fontId="1" fillId="0" borderId="18" xfId="2" applyBorder="1" applyAlignment="1">
      <alignment horizontal="center"/>
    </xf>
    <xf numFmtId="0" fontId="12" fillId="0" borderId="0" xfId="2" applyFont="1" applyAlignment="1">
      <alignment horizontal="center"/>
    </xf>
    <xf numFmtId="0" fontId="8" fillId="0" borderId="6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12" fillId="0" borderId="6" xfId="2" applyFont="1" applyBorder="1" applyAlignment="1">
      <alignment horizontal="center"/>
    </xf>
    <xf numFmtId="0" fontId="12" fillId="0" borderId="0" xfId="2" applyFont="1" applyAlignment="1">
      <alignment horizontal="center"/>
    </xf>
    <xf numFmtId="0" fontId="2" fillId="0" borderId="1" xfId="2" applyFont="1" applyBorder="1" applyAlignment="1">
      <alignment horizontal="center" vertical="center" wrapText="1"/>
    </xf>
    <xf numFmtId="0" fontId="1" fillId="0" borderId="0" xfId="2" applyAlignment="1">
      <alignment horizontal="left" vertical="center"/>
    </xf>
    <xf numFmtId="0" fontId="1" fillId="0" borderId="2" xfId="2" applyBorder="1" applyAlignment="1">
      <alignment horizontal="left" vertical="center"/>
    </xf>
    <xf numFmtId="0" fontId="7" fillId="2" borderId="0" xfId="2" applyFont="1" applyFill="1" applyAlignment="1">
      <alignment horizontal="center" vertical="center" shrinkToFit="1"/>
    </xf>
  </cellXfs>
  <cellStyles count="7">
    <cellStyle name="Comma 2 2 2 2" xfId="1" xr:uid="{00000000-0005-0000-0000-000031000000}"/>
    <cellStyle name="Normal" xfId="0" builtinId="0"/>
    <cellStyle name="Normal 2" xfId="2" xr:uid="{00000000-0005-0000-0000-000032000000}"/>
    <cellStyle name="Normal 2 2" xfId="3" xr:uid="{00000000-0005-0000-0000-000033000000}"/>
    <cellStyle name="Normal 4" xfId="4" xr:uid="{00000000-0005-0000-0000-000034000000}"/>
    <cellStyle name="Normal 5" xfId="5" xr:uid="{00000000-0005-0000-0000-000035000000}"/>
    <cellStyle name="Normal 6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Users/yulianaekawidyasari/Library/Containers/net.whatsapp.WhatsApp/Data/tmp/documents/0557FDD1-3EE8-4F05-94F0-2AD862B70B51/https:/d.docs.live.net/6bdb4517ddb138a1/Documents/Surya%20Dynamic%20-%20Project.xlsx?0181F091" TargetMode="External"/><Relationship Id="rId1" Type="http://schemas.openxmlformats.org/officeDocument/2006/relationships/externalLinkPath" Target="file:///\\0181F091\Surya%20Dynamic%20-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ya Dynamic - Projec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M65"/>
  <sheetViews>
    <sheetView showGridLines="0" tabSelected="1" topLeftCell="A15" zoomScale="96" zoomScaleNormal="96" workbookViewId="0">
      <selection activeCell="E32" sqref="E32"/>
    </sheetView>
  </sheetViews>
  <sheetFormatPr defaultColWidth="0" defaultRowHeight="14.4"/>
  <cols>
    <col min="1" max="1" width="2.77734375" style="2" customWidth="1"/>
    <col min="2" max="2" width="8.88671875" style="2" customWidth="1"/>
    <col min="3" max="3" width="26.44140625" style="2" customWidth="1"/>
    <col min="4" max="4" width="19.44140625" style="2" customWidth="1"/>
    <col min="5" max="5" width="24" style="2" customWidth="1"/>
    <col min="6" max="6" width="25.21875" style="2" hidden="1" customWidth="1"/>
    <col min="7" max="7" width="29.44140625" style="2" customWidth="1"/>
    <col min="8" max="8" width="23.6640625" style="2" customWidth="1"/>
    <col min="9" max="9" width="35.109375" style="2" hidden="1" customWidth="1"/>
    <col min="10" max="10" width="2.109375" style="2" customWidth="1"/>
    <col min="11" max="16384" width="8.88671875" style="2" hidden="1"/>
  </cols>
  <sheetData>
    <row r="1" spans="2:13" ht="39.75" customHeight="1">
      <c r="B1" s="52" t="s">
        <v>0</v>
      </c>
      <c r="C1" s="52"/>
      <c r="D1" s="52"/>
      <c r="E1" s="52"/>
      <c r="F1" s="52"/>
      <c r="G1" s="52"/>
      <c r="H1" s="52"/>
      <c r="I1" s="30"/>
      <c r="J1" s="30"/>
      <c r="K1" s="31"/>
      <c r="L1" s="31"/>
      <c r="M1" s="31"/>
    </row>
    <row r="2" spans="2:13" ht="22.8">
      <c r="B2" s="3" t="s">
        <v>1</v>
      </c>
      <c r="C2" s="4">
        <v>45931</v>
      </c>
      <c r="D2" s="5"/>
      <c r="E2" s="5"/>
      <c r="F2" s="5"/>
      <c r="G2" s="5"/>
      <c r="H2" s="5"/>
    </row>
    <row r="3" spans="2:13" ht="22.8">
      <c r="B3" s="3" t="s">
        <v>2</v>
      </c>
      <c r="C3" s="3" t="s">
        <v>3</v>
      </c>
      <c r="D3" s="5"/>
      <c r="E3" s="5"/>
      <c r="F3" s="5"/>
      <c r="G3" s="5"/>
      <c r="H3" s="5"/>
    </row>
    <row r="4" spans="2:13" ht="10.199999999999999" customHeight="1">
      <c r="B4" s="6"/>
      <c r="C4" s="6"/>
      <c r="D4" s="6"/>
      <c r="E4" s="6"/>
      <c r="F4" s="6"/>
      <c r="G4" s="6"/>
      <c r="H4" s="6"/>
    </row>
    <row r="5" spans="2:13" ht="15">
      <c r="B5" s="3" t="s">
        <v>4</v>
      </c>
      <c r="C5" s="7" t="str">
        <f>I31</f>
        <v>PT KREASI GARMENT CIREBON</v>
      </c>
      <c r="D5" s="8"/>
      <c r="E5" s="8"/>
      <c r="F5" s="8"/>
      <c r="G5" s="8"/>
      <c r="H5" s="8"/>
    </row>
    <row r="6" spans="2:13" ht="15">
      <c r="B6" s="3"/>
      <c r="C6" s="7"/>
      <c r="D6" s="8"/>
      <c r="E6" s="8"/>
      <c r="F6" s="8"/>
      <c r="G6" s="8"/>
      <c r="H6" s="8"/>
    </row>
    <row r="7" spans="2:13" ht="25.95" customHeight="1">
      <c r="B7" s="2" t="s">
        <v>5</v>
      </c>
      <c r="E7" s="19">
        <f>COUNT(E31:E65)</f>
        <v>0</v>
      </c>
      <c r="H7" s="8" t="s">
        <v>6</v>
      </c>
    </row>
    <row r="8" spans="2:13" ht="27.9" customHeight="1">
      <c r="B8" s="53" t="s">
        <v>7</v>
      </c>
      <c r="C8" s="54"/>
      <c r="D8" s="1"/>
      <c r="E8" s="20">
        <f>SUM(E31:E65)</f>
        <v>0</v>
      </c>
      <c r="F8" s="21" t="e">
        <f>SUM('25.1001 LMN-2510001 PT SINTA PE'!#REF!)</f>
        <v>#REF!</v>
      </c>
      <c r="G8" s="22"/>
      <c r="H8" s="1"/>
    </row>
    <row r="9" spans="2:13">
      <c r="B9" s="9"/>
      <c r="C9" s="9"/>
      <c r="E9" s="23"/>
      <c r="F9" s="24"/>
      <c r="G9" s="25"/>
    </row>
    <row r="10" spans="2:13" ht="15">
      <c r="B10" s="10" t="s">
        <v>8</v>
      </c>
    </row>
    <row r="11" spans="2:13" s="1" customFormat="1" ht="26.1" customHeight="1">
      <c r="B11" s="55" t="str">
        <f>TRIM(IF(OR(LEN(FLOOR(E8,1))=13,FLOOR(E8,1)&lt;=0),"Out of range",PROPER(SUBSTITUTE(CONCATENATE(CHOOSE(MID(TEXT(INT(E8),REPT(0,12)),1,1)+1,"","seratus ","dua ratus ","tiga ratus ","empat ratus ","lima ratus ","enam ratus ","tujuh ratus ","delapan ratus ","sembilan ratus "),CHOOSE(MID(TEXT(INT(E8),REPT(0,12)),2,1)+1,"",CHOOSE(MID(TEXT(INT(E8),REPT(0,12)),3,1)+1,"sepuluh","sebelas","dua belas","tiga belas","empat belas","lima belas","enam belas","tujuh belas","delapan belas","sembilan belas"),"dua puluh","tiga puluh","empat puluh","lima puluh","enam puluh","tujuh puluh","delapan puluh","sembilan puluh"),IF(VALUE(MID(TEXT(INT(E8),REPT(0,12)),2,1))&gt;1,CHOOSE(MID(TEXT(INT(E8),REPT(0,12)),3,1)+1,"","-satu","-dua","-tiga","-empat","-lima","-enam","-tujuh","-delapan","-sembilan"),IF(VALUE(MID(TEXT(INT(E8),REPT(0,12)),2,1))=0,CHOOSE(MID(TEXT(INT(E8),REPT(0,12)),3,1)+1,"","satu","dua","tiga","empat","lima","enam","tujuh","delapan","sembilan"),"")),IF(E8&gt;=10^9," Milliar ",""),CHOOSE(MID(TEXT(INT(E8),REPT(0,12)),4,1)+1,"","seratus ","dua ratus ","tiga ratus ","empat ratus ","lima ratus ","enam ratus ","tujuh ratus ","delapan ratus ","sembilan ratus "),CHOOSE(MID(TEXT(INT(E8),REPT(0,12)),5,1)+1,"",CHOOSE(MID(TEXT(INT(E8),REPT(0,12)),6,1)+1,"sepuluh","sebelas","dua belas","tiga belas","empat belas","lima belas","enam belas","tujuh belas","delapan belas","sembilan belas"),"dua puluh","tiga puluh","empat puluh","lima puluh","enam puluh","tujuh puluh","delapan puluh","sembilan puluh"),IF(VALUE(MID(TEXT(INT(E8),REPT(0,12)),5,1))&gt;1,CHOOSE(MID(TEXT(INT(E8),REPT(0,12)),6,1)+1,"","-satu","-dua","-tiga","-empat","-lima","-enam","-tujuh","-delapan","-sembilan"),IF(VALUE(MID(TEXT(INT(E8),REPT(0,12)),5,1))=0,CHOOSE(MID(TEXT(INT(E8),REPT(0,12)),6,1)+1,"","satu","dua","tiga","empat","lima","enam","tujuh","delapan","sembilan"),"")),IF(VALUE(MID(TEXT(INT(E8),REPT(0,12)),4,3))&gt;0," juta ",""),CHOOSE(MID(TEXT(INT(E8),REPT(0,12)),7,1)+1,"","seratus ","dua ratus ","tiga ratus ","empat ratus ","lima ratus ","enam ratus ","tujuh ratus ","delapan ratus ","sembilan ratus "),CHOOSE(MID(TEXT(INT(E8),REPT(0,12)),8,1)+1,"",CHOOSE(MID(TEXT(INT(E8),REPT(0,12)),9,1)+1,"sepuluh","sebeleas","dua belas","tiga belas","empat belas","lima belas","enam belas","tujuh belas","delapan belas","sembilan belas"),"dua puluh","tiga puluh","empat puluh","lima puluh","enam puluh","tujuh puluh","delapan puluh","sembilan puluh"),IF(VALUE(MID(TEXT(INT(E8),REPT(0,12)),8,1))&gt;1,CHOOSE(MID(TEXT(INT(E8),REPT(0,12)),9,1)+1,"","-satu","-dua","-tiga","-empat","-lima","-enam","-tujuh","-delapan","-sembilan"),IF(VALUE(MID(TEXT(INT(E8),REPT(0,12)),8,1))=0,CHOOSE(MID(TEXT(INT(E8),REPT(0,12)),9,1)+1,"","satu","dua","tiga","empat","lima","enam","tujuh","delapan","sembilan"),"")),IF(VALUE(MID(TEXT(INT(E8),REPT(0,12)),7,3))," ribu ",""),CHOOSE(MID(TEXT(INT(E8),REPT(0,12)),10,1)+1,"","seratus ","dua ratus ","tiga ratus ","empat ratus ","lima ratus ","enam ratus ","tujuh ratus ","delapan ratus ","sembilan ratus "),CHOOSE(MID(TEXT(INT(E8),REPT(0,12)),11,1)+1,"",CHOOSE(MID(TEXT(INT(E8),REPT(0,12)),12,1)+1,"sepuluh","sebelas","dua belas","tiga belas","empat belas","lima belas","enam belas","tujuh belas","delapan belas","sembilan belas"),"dua puluh","tiga puluh","empat puluh","lima puluh","enam puluh","tujuh puluh","delapan puluh","sembilan puluh"),IF(VALUE(MID(TEXT(INT(E8),REPT(0,12)),11,1))&gt;1,CHOOSE(MID(TEXT(INT(E8),REPT(0,12)),12,1)+1,"","-satu","-dua","-tiga","-empat","-lima","-enam","-tujuh","-delapan","-sembilan"),IF(VALUE(MID(TEXT(INT(E8),REPT(0,12)),11,1))=0,CHOOSE(MID(TEXT(INT(E8),REPT(0,12)),12,1)+1,"","satu","dua","tiga","empat","lima","enam","tujuh","delapan","sembilan"),""))),"  "," ")&amp;IF(FLOOR(E8,1)&gt;1," rupiah"," rupiah"))&amp;IF(ISERROR(FIND(".",E8,1))," "," dan "&amp;PROPER(IF(LEN(LEFT(TRIM(MID(SUBSTITUTE(E8,".",REPT(" ",255)),255,200)),2))=1,CHOOSE(1*LEFT(TRIM(MID(SUBSTITUTE(E8,".",REPT(" ",255)),255,200)),2),"sepuluh","dua puluh","tiga puluh","empat puluh","lima puluh","enam puluh","tujuh puluh","delapan puluh","sembilan puluh")&amp;"  ","")&amp;CONCATENATE(CHOOSE(MID(TEXT(INT(LEFT(TRIM(MID(SUBSTITUTE(E8,".",REPT(" ",255)),255,200)),2)),REPT(0,12)),11,1)+1,"",CHOOSE(MID(TEXT(INT(LEFT(TRIM(MID(SUBSTITUTE(E8,".",REPT(" ",255)),255,200)),2)),REPT(0,12)),12,1)+1,"sepuluh","sebelas","dua belas","tiga belas","empat belas","lima belas","enam belas","tujuh belas","delapan belas","sembilan belas")&amp;"  ","dua puluh","tiga puluh","empat puluh","lima puluh","enam puluh","tujuh puluh","delapan puluh","sembilan puluh"),IF(VALUE(MID(TEXT(INT(LEFT(TRIM(MID(SUBSTITUTE(E8,".",REPT(" ",255)),255,200)),2)),REPT(0,12)),11,1))&gt;1,CHOOSE(MID(TEXT(INT(LEFT(TRIM(MID(SUBSTITUTE(E8,".",REPT(" ",255)),255,200)),2)),REPT(0,12)),12,1)+1,"","-satu","-dua","-tiga","-empat","-lima","-enam","-tujuh","-delapan","-sembilan")&amp;"  ",IF(LEFT(TRIM(MID(SUBSTITUTE(E8,".",REPT(" ",255)),255,200)),2)="01","satu cent",IF(LEFT(TRIM(MID(SUBSTITUTE(E8,".",REPT(" ",255)),255,200)),1)="0",CHOOSE(MID(TEXT(INT(LEFT(TRIM(MID(SUBSTITUTE(E8,".",REPT(" ",255)),255,200)),2)),REPT(0,12)),12,1)+1,"","satu","dua","tiga","empat","lima","enam","tujuh","delapan","sembilan")&amp;"  ",""))))))))</f>
        <v>Out of range</v>
      </c>
      <c r="C11" s="55"/>
      <c r="D11" s="55"/>
      <c r="E11" s="55"/>
      <c r="F11" s="55"/>
      <c r="G11" s="55"/>
      <c r="H11" s="55"/>
    </row>
    <row r="12" spans="2:13">
      <c r="B12" s="11"/>
      <c r="C12" s="11"/>
      <c r="D12" s="11"/>
      <c r="E12" s="11"/>
      <c r="F12" s="11"/>
      <c r="G12" s="11"/>
      <c r="H12" s="11"/>
    </row>
    <row r="13" spans="2:13">
      <c r="B13" s="2" t="s">
        <v>9</v>
      </c>
    </row>
    <row r="15" spans="2:13" ht="14.4" customHeight="1">
      <c r="B15" s="32" t="s">
        <v>10</v>
      </c>
      <c r="C15" s="33"/>
      <c r="D15" s="34"/>
      <c r="E15" s="50" t="s">
        <v>11</v>
      </c>
      <c r="F15" s="51"/>
      <c r="G15" s="51"/>
      <c r="H15" s="47" t="s">
        <v>12</v>
      </c>
    </row>
    <row r="16" spans="2:13">
      <c r="B16" s="12" t="s">
        <v>13</v>
      </c>
      <c r="C16" s="13"/>
      <c r="D16" s="14"/>
    </row>
    <row r="17" spans="2:9">
      <c r="B17" s="12" t="s">
        <v>14</v>
      </c>
      <c r="C17" s="13"/>
      <c r="D17" s="14"/>
    </row>
    <row r="18" spans="2:9">
      <c r="B18" s="12" t="s">
        <v>15</v>
      </c>
      <c r="C18" s="13"/>
      <c r="D18" s="14"/>
    </row>
    <row r="19" spans="2:9">
      <c r="B19" s="12" t="s">
        <v>16</v>
      </c>
      <c r="C19" s="13"/>
      <c r="D19" s="14"/>
    </row>
    <row r="20" spans="2:9">
      <c r="B20" s="12" t="s">
        <v>17</v>
      </c>
      <c r="C20" s="13"/>
      <c r="D20" s="14"/>
      <c r="E20" s="27"/>
      <c r="F20" s="26"/>
      <c r="G20" s="26"/>
    </row>
    <row r="21" spans="2:9">
      <c r="B21" s="12" t="s">
        <v>18</v>
      </c>
      <c r="C21" s="13"/>
      <c r="D21" s="14"/>
    </row>
    <row r="22" spans="2:9">
      <c r="B22" s="12" t="s">
        <v>19</v>
      </c>
      <c r="C22" s="13"/>
      <c r="D22" s="14"/>
      <c r="F22" s="27"/>
      <c r="G22" s="27"/>
    </row>
    <row r="23" spans="2:9">
      <c r="B23" s="48" t="s">
        <v>20</v>
      </c>
      <c r="C23" s="49"/>
      <c r="D23" s="14"/>
    </row>
    <row r="24" spans="2:9" ht="14.4" customHeight="1">
      <c r="B24" s="12" t="s">
        <v>21</v>
      </c>
      <c r="C24" s="13"/>
      <c r="D24" s="14"/>
    </row>
    <row r="25" spans="2:9">
      <c r="B25" s="12" t="s">
        <v>22</v>
      </c>
      <c r="C25" s="13"/>
      <c r="D25" s="14"/>
      <c r="E25" s="50" t="str">
        <f>C5</f>
        <v>PT KREASI GARMENT CIREBON</v>
      </c>
      <c r="F25" s="51"/>
      <c r="G25" s="51"/>
      <c r="H25" s="47" t="s">
        <v>23</v>
      </c>
    </row>
    <row r="26" spans="2:9">
      <c r="B26" s="15" t="s">
        <v>24</v>
      </c>
      <c r="C26" s="16"/>
      <c r="D26" s="17"/>
    </row>
    <row r="28" spans="2:9">
      <c r="B28" s="2" t="s">
        <v>25</v>
      </c>
    </row>
    <row r="29" spans="2:9">
      <c r="F29" s="2">
        <f>COUNTA(#REF!)</f>
        <v>1</v>
      </c>
    </row>
    <row r="30" spans="2:9">
      <c r="B30" s="36" t="s">
        <v>26</v>
      </c>
      <c r="C30" s="18" t="s">
        <v>27</v>
      </c>
      <c r="D30" s="18" t="s">
        <v>28</v>
      </c>
      <c r="E30" s="28" t="s">
        <v>29</v>
      </c>
      <c r="F30" s="28" t="s">
        <v>30</v>
      </c>
      <c r="G30" s="28" t="s">
        <v>31</v>
      </c>
      <c r="H30" s="29" t="s">
        <v>32</v>
      </c>
    </row>
    <row r="31" spans="2:9" ht="15.75" customHeight="1">
      <c r="B31" s="37">
        <v>1</v>
      </c>
      <c r="C31" s="38"/>
      <c r="D31" s="39"/>
      <c r="E31" s="41"/>
      <c r="F31" s="37"/>
      <c r="G31" s="40"/>
      <c r="H31" s="37"/>
      <c r="I31" s="35" t="s">
        <v>33</v>
      </c>
    </row>
    <row r="32" spans="2:9" ht="17.25" customHeight="1">
      <c r="B32" s="37">
        <v>2</v>
      </c>
      <c r="C32" s="38"/>
      <c r="D32" s="39"/>
      <c r="E32" s="41"/>
      <c r="F32" s="37"/>
      <c r="G32" s="40"/>
      <c r="H32" s="37"/>
      <c r="I32" s="35" t="s">
        <v>33</v>
      </c>
    </row>
    <row r="33" spans="2:9" ht="19.5" customHeight="1">
      <c r="B33" s="37">
        <v>3</v>
      </c>
      <c r="C33" s="38"/>
      <c r="D33" s="39"/>
      <c r="E33" s="41"/>
      <c r="F33" s="37"/>
      <c r="G33" s="40"/>
      <c r="H33" s="37"/>
      <c r="I33" s="35" t="s">
        <v>33</v>
      </c>
    </row>
    <row r="34" spans="2:9" ht="15.75" customHeight="1">
      <c r="B34" s="37">
        <v>4</v>
      </c>
      <c r="C34" s="38"/>
      <c r="D34" s="39"/>
      <c r="E34" s="41"/>
      <c r="F34" s="37"/>
      <c r="G34" s="40"/>
      <c r="H34" s="37"/>
      <c r="I34" s="35" t="s">
        <v>33</v>
      </c>
    </row>
    <row r="35" spans="2:9" ht="18" customHeight="1">
      <c r="B35" s="37">
        <v>5</v>
      </c>
      <c r="C35" s="38"/>
      <c r="D35" s="39"/>
      <c r="E35" s="41"/>
      <c r="F35" s="37"/>
      <c r="G35" s="40"/>
      <c r="H35" s="37"/>
      <c r="I35" s="35" t="s">
        <v>33</v>
      </c>
    </row>
    <row r="36" spans="2:9" ht="15.75" customHeight="1">
      <c r="B36" s="37">
        <v>6</v>
      </c>
      <c r="C36" s="42"/>
      <c r="D36" s="43"/>
      <c r="E36" s="44"/>
      <c r="F36" s="43"/>
      <c r="G36" s="45"/>
      <c r="H36" s="43"/>
      <c r="I36" s="46" t="s">
        <v>33</v>
      </c>
    </row>
    <row r="37" spans="2:9">
      <c r="B37" s="37">
        <v>7</v>
      </c>
      <c r="C37" s="37"/>
      <c r="D37" s="39"/>
      <c r="E37" s="41"/>
      <c r="F37" s="37"/>
      <c r="G37" s="37"/>
      <c r="H37" s="37"/>
      <c r="I37" s="37" t="s">
        <v>33</v>
      </c>
    </row>
    <row r="38" spans="2:9">
      <c r="B38" s="37">
        <v>8</v>
      </c>
      <c r="C38" s="37"/>
      <c r="D38" s="37"/>
      <c r="E38" s="41"/>
      <c r="F38" s="37"/>
      <c r="G38" s="37"/>
      <c r="H38" s="37"/>
      <c r="I38" s="37" t="s">
        <v>33</v>
      </c>
    </row>
    <row r="39" spans="2:9">
      <c r="B39" s="37">
        <v>9</v>
      </c>
      <c r="C39" s="37"/>
      <c r="D39" s="37"/>
      <c r="E39" s="41"/>
      <c r="F39" s="37"/>
      <c r="G39" s="37"/>
      <c r="H39" s="37"/>
      <c r="I39" s="37" t="s">
        <v>33</v>
      </c>
    </row>
    <row r="40" spans="2:9">
      <c r="B40" s="37">
        <v>10</v>
      </c>
      <c r="C40" s="43"/>
      <c r="D40" s="43"/>
      <c r="E40" s="44"/>
      <c r="F40" s="43"/>
      <c r="G40" s="43"/>
      <c r="H40" s="43"/>
      <c r="I40" s="37" t="s">
        <v>33</v>
      </c>
    </row>
    <row r="41" spans="2:9">
      <c r="B41" s="37">
        <v>11</v>
      </c>
      <c r="C41" s="37"/>
      <c r="D41" s="39"/>
      <c r="E41" s="41"/>
      <c r="F41" s="37"/>
      <c r="G41" s="37"/>
      <c r="H41" s="37"/>
      <c r="I41" s="2" t="s">
        <v>33</v>
      </c>
    </row>
    <row r="42" spans="2:9">
      <c r="B42" s="37">
        <v>12</v>
      </c>
      <c r="C42" s="37"/>
      <c r="D42" s="39"/>
      <c r="E42" s="41"/>
      <c r="F42" s="37"/>
      <c r="G42" s="37"/>
      <c r="H42" s="37"/>
      <c r="I42" s="2" t="s">
        <v>33</v>
      </c>
    </row>
    <row r="43" spans="2:9">
      <c r="B43" s="37">
        <v>13</v>
      </c>
      <c r="C43" s="37"/>
      <c r="D43" s="39"/>
      <c r="E43" s="41"/>
      <c r="F43" s="37"/>
      <c r="G43" s="37"/>
      <c r="H43" s="37"/>
      <c r="I43" s="2" t="s">
        <v>33</v>
      </c>
    </row>
    <row r="44" spans="2:9">
      <c r="B44" s="37">
        <v>14</v>
      </c>
      <c r="C44" s="37"/>
      <c r="D44" s="39"/>
      <c r="E44" s="41"/>
      <c r="F44" s="37"/>
      <c r="G44" s="37"/>
      <c r="H44" s="37"/>
      <c r="I44" s="2" t="s">
        <v>33</v>
      </c>
    </row>
    <row r="45" spans="2:9">
      <c r="B45" s="37">
        <v>15</v>
      </c>
      <c r="C45" s="37"/>
      <c r="D45" s="39"/>
      <c r="E45" s="41"/>
      <c r="F45" s="37"/>
      <c r="G45" s="37"/>
      <c r="H45" s="37"/>
      <c r="I45" s="2" t="s">
        <v>33</v>
      </c>
    </row>
    <row r="46" spans="2:9">
      <c r="B46" s="37">
        <v>16</v>
      </c>
      <c r="C46" s="37"/>
      <c r="D46" s="39"/>
      <c r="E46" s="41"/>
      <c r="F46" s="37"/>
      <c r="G46" s="37"/>
      <c r="H46" s="37"/>
      <c r="I46" s="2" t="s">
        <v>33</v>
      </c>
    </row>
    <row r="47" spans="2:9">
      <c r="B47" s="37">
        <v>17</v>
      </c>
      <c r="C47" s="37"/>
      <c r="D47" s="39"/>
      <c r="E47" s="41"/>
      <c r="F47" s="37"/>
      <c r="G47" s="37"/>
      <c r="H47" s="37"/>
      <c r="I47" s="2" t="s">
        <v>33</v>
      </c>
    </row>
    <row r="48" spans="2:9">
      <c r="B48" s="37">
        <v>18</v>
      </c>
      <c r="C48" s="37"/>
      <c r="D48" s="39"/>
      <c r="E48" s="41"/>
      <c r="F48" s="37"/>
      <c r="G48" s="37"/>
      <c r="H48" s="37"/>
      <c r="I48" s="2" t="s">
        <v>33</v>
      </c>
    </row>
    <row r="49" spans="2:9">
      <c r="B49" s="37">
        <v>19</v>
      </c>
      <c r="C49" s="37"/>
      <c r="D49" s="39"/>
      <c r="E49" s="41"/>
      <c r="F49" s="37"/>
      <c r="G49" s="37"/>
      <c r="H49" s="37"/>
      <c r="I49" s="2" t="s">
        <v>33</v>
      </c>
    </row>
    <row r="50" spans="2:9">
      <c r="B50" s="37">
        <v>20</v>
      </c>
      <c r="C50" s="37"/>
      <c r="D50" s="39"/>
      <c r="E50" s="41"/>
      <c r="F50" s="37"/>
      <c r="G50" s="37"/>
      <c r="H50" s="37"/>
      <c r="I50" s="2" t="s">
        <v>33</v>
      </c>
    </row>
    <row r="51" spans="2:9">
      <c r="B51" s="37">
        <v>21</v>
      </c>
      <c r="C51" s="37"/>
      <c r="D51" s="39"/>
      <c r="E51" s="41"/>
      <c r="F51" s="37"/>
      <c r="G51" s="37"/>
      <c r="H51" s="37"/>
      <c r="I51" s="2" t="s">
        <v>33</v>
      </c>
    </row>
    <row r="52" spans="2:9">
      <c r="B52" s="37">
        <v>22</v>
      </c>
      <c r="C52" s="37"/>
      <c r="D52" s="39"/>
      <c r="E52" s="41"/>
      <c r="F52" s="37"/>
      <c r="G52" s="37"/>
      <c r="H52" s="37"/>
      <c r="I52" s="2" t="s">
        <v>33</v>
      </c>
    </row>
    <row r="53" spans="2:9">
      <c r="B53" s="37">
        <v>23</v>
      </c>
      <c r="C53" s="37"/>
      <c r="D53" s="39"/>
      <c r="E53" s="41"/>
      <c r="F53" s="37"/>
      <c r="G53" s="37"/>
      <c r="H53" s="37"/>
      <c r="I53" s="2" t="s">
        <v>33</v>
      </c>
    </row>
    <row r="54" spans="2:9">
      <c r="B54" s="37">
        <v>24</v>
      </c>
      <c r="C54" s="37"/>
      <c r="D54" s="39"/>
      <c r="E54" s="41"/>
      <c r="F54" s="37"/>
      <c r="G54" s="37"/>
      <c r="H54" s="37"/>
      <c r="I54" s="2" t="s">
        <v>33</v>
      </c>
    </row>
    <row r="55" spans="2:9">
      <c r="B55" s="37">
        <v>25</v>
      </c>
      <c r="C55" s="37"/>
      <c r="D55" s="39"/>
      <c r="E55" s="41"/>
      <c r="F55" s="37"/>
      <c r="G55" s="37"/>
      <c r="H55" s="37"/>
      <c r="I55" s="2" t="s">
        <v>33</v>
      </c>
    </row>
    <row r="56" spans="2:9">
      <c r="B56" s="37">
        <v>26</v>
      </c>
      <c r="C56" s="37"/>
      <c r="D56" s="39"/>
      <c r="E56" s="41"/>
      <c r="F56" s="37"/>
      <c r="G56" s="37"/>
      <c r="H56" s="37"/>
      <c r="I56" s="2" t="s">
        <v>33</v>
      </c>
    </row>
    <row r="57" spans="2:9">
      <c r="B57" s="37">
        <v>27</v>
      </c>
      <c r="C57" s="37"/>
      <c r="D57" s="39"/>
      <c r="E57" s="41"/>
      <c r="F57" s="37"/>
      <c r="G57" s="37"/>
      <c r="H57" s="37"/>
      <c r="I57" s="2" t="s">
        <v>33</v>
      </c>
    </row>
    <row r="58" spans="2:9">
      <c r="B58" s="37">
        <v>28</v>
      </c>
      <c r="C58" s="37"/>
      <c r="D58" s="39"/>
      <c r="E58" s="41"/>
      <c r="F58" s="37"/>
      <c r="G58" s="37"/>
      <c r="H58" s="37"/>
      <c r="I58" s="2" t="s">
        <v>33</v>
      </c>
    </row>
    <row r="59" spans="2:9">
      <c r="B59" s="37">
        <v>29</v>
      </c>
      <c r="C59" s="37"/>
      <c r="D59" s="39"/>
      <c r="E59" s="41"/>
      <c r="F59" s="37"/>
      <c r="G59" s="37"/>
      <c r="H59" s="37"/>
      <c r="I59" s="2" t="s">
        <v>33</v>
      </c>
    </row>
    <row r="60" spans="2:9">
      <c r="B60" s="37">
        <v>30</v>
      </c>
      <c r="C60" s="37"/>
      <c r="D60" s="39"/>
      <c r="E60" s="41"/>
      <c r="F60" s="37"/>
      <c r="G60" s="37"/>
      <c r="H60" s="37"/>
      <c r="I60" s="2" t="s">
        <v>33</v>
      </c>
    </row>
    <row r="61" spans="2:9">
      <c r="B61" s="37">
        <v>31</v>
      </c>
      <c r="C61" s="37"/>
      <c r="D61" s="39"/>
      <c r="E61" s="41"/>
      <c r="F61" s="37"/>
      <c r="G61" s="37"/>
      <c r="H61" s="37"/>
      <c r="I61" s="2" t="s">
        <v>33</v>
      </c>
    </row>
    <row r="62" spans="2:9">
      <c r="B62" s="37">
        <v>32</v>
      </c>
      <c r="C62" s="37"/>
      <c r="D62" s="39"/>
      <c r="E62" s="41"/>
      <c r="F62" s="37"/>
      <c r="G62" s="37"/>
      <c r="H62" s="37"/>
      <c r="I62" s="2" t="s">
        <v>33</v>
      </c>
    </row>
    <row r="63" spans="2:9">
      <c r="B63" s="37">
        <v>33</v>
      </c>
      <c r="C63" s="37"/>
      <c r="D63" s="39"/>
      <c r="E63" s="41"/>
      <c r="F63" s="37"/>
      <c r="G63" s="37"/>
      <c r="H63" s="37"/>
      <c r="I63" s="2" t="s">
        <v>33</v>
      </c>
    </row>
    <row r="64" spans="2:9">
      <c r="B64" s="37">
        <v>34</v>
      </c>
      <c r="C64" s="37"/>
      <c r="D64" s="39"/>
      <c r="E64" s="41"/>
      <c r="F64" s="37"/>
      <c r="G64" s="37"/>
      <c r="H64" s="37"/>
      <c r="I64" s="2" t="s">
        <v>33</v>
      </c>
    </row>
    <row r="65" spans="2:9">
      <c r="B65" s="37">
        <v>35</v>
      </c>
      <c r="C65" s="37"/>
      <c r="D65" s="39"/>
      <c r="E65" s="41"/>
      <c r="F65" s="37"/>
      <c r="G65" s="37"/>
      <c r="H65" s="37"/>
      <c r="I65" s="2" t="s">
        <v>33</v>
      </c>
    </row>
  </sheetData>
  <mergeCells count="6">
    <mergeCell ref="B23:C23"/>
    <mergeCell ref="E15:G15"/>
    <mergeCell ref="E25:G25"/>
    <mergeCell ref="B1:H1"/>
    <mergeCell ref="B8:C8"/>
    <mergeCell ref="B11:H11"/>
  </mergeCells>
  <pageMargins left="0.25" right="0.25" top="0.31" bottom="1.06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25.1001 LMN-2510001 PT SINTA PE</vt:lpstr>
      <vt:lpstr>'25.1001 LMN-2510001 PT SINTA PE'!Print_Area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Timotius Riady</dc:creator>
  <cp:keywords/>
  <dc:description/>
  <cp:lastModifiedBy>yudha aditya</cp:lastModifiedBy>
  <cp:revision/>
  <dcterms:created xsi:type="dcterms:W3CDTF">2025-07-07T18:13:00Z</dcterms:created>
  <dcterms:modified xsi:type="dcterms:W3CDTF">2026-05-28T08:29:04Z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49250F40842049A6E1CEAF68570EFC6F_43</vt:lpwstr>
  </property>
  <property fmtid="{D5CDD505-2E9C-101B-9397-08002B2CF9AE}" pid="3" name="KSOProductBuildVer">
    <vt:lpwstr>1033-12.1.21937.21937</vt:lpwstr>
  </property>
</Properties>
</file>